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oog\Documents\CLASSES\25fall\chem564\"/>
    </mc:Choice>
  </mc:AlternateContent>
  <xr:revisionPtr revIDLastSave="0" documentId="13_ncr:1_{353C6C47-2C3B-4105-956A-411C76E8538A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definedNames>
    <definedName name="solver_adj" localSheetId="0" hidden="1">Sheet1!$B$35:$B$36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Sheet1!$K$33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F32" i="1" s="1"/>
  <c r="E31" i="1"/>
  <c r="G31" i="1" s="1"/>
  <c r="E30" i="1"/>
  <c r="G30" i="1" s="1"/>
  <c r="L26" i="1"/>
  <c r="L27" i="1"/>
  <c r="L25" i="1"/>
  <c r="K26" i="1"/>
  <c r="K27" i="1"/>
  <c r="K25" i="1"/>
  <c r="C6" i="1"/>
  <c r="D6" i="1" s="1"/>
  <c r="C7" i="1"/>
  <c r="D7" i="1" s="1"/>
  <c r="C5" i="1"/>
  <c r="D5" i="1" s="1"/>
  <c r="F30" i="1" l="1"/>
  <c r="H30" i="1" s="1"/>
  <c r="I30" i="1" s="1"/>
  <c r="J30" i="1" s="1"/>
  <c r="L30" i="1" s="1"/>
  <c r="G32" i="1"/>
  <c r="H32" i="1" s="1"/>
  <c r="I32" i="1" s="1"/>
  <c r="J32" i="1" s="1"/>
  <c r="L32" i="1" s="1"/>
  <c r="F31" i="1"/>
  <c r="H31" i="1" s="1"/>
  <c r="I31" i="1" s="1"/>
  <c r="J31" i="1" s="1"/>
  <c r="L31" i="1" s="1"/>
  <c r="D8" i="1"/>
  <c r="K33" i="1" l="1"/>
</calcChain>
</file>

<file path=xl/sharedStrings.xml><?xml version="1.0" encoding="utf-8"?>
<sst xmlns="http://schemas.openxmlformats.org/spreadsheetml/2006/main" count="47" uniqueCount="36">
  <si>
    <t>m(fit)</t>
  </si>
  <si>
    <t>x</t>
  </si>
  <si>
    <t>y</t>
  </si>
  <si>
    <t>SR</t>
  </si>
  <si>
    <t>b(fit)</t>
  </si>
  <si>
    <t>yline</t>
  </si>
  <si>
    <t>ssr</t>
  </si>
  <si>
    <t>Calculations from experimental data</t>
  </si>
  <si>
    <t>exp abs freq</t>
  </si>
  <si>
    <t>O16 - C12 - S32</t>
  </si>
  <si>
    <t>O16 - C12 - S34</t>
  </si>
  <si>
    <t>O16 - C13 - S32</t>
  </si>
  <si>
    <t>alpha corrections</t>
  </si>
  <si>
    <t>alpha_1</t>
  </si>
  <si>
    <t>alpha_2</t>
  </si>
  <si>
    <t>alpha_3</t>
  </si>
  <si>
    <t>total</t>
  </si>
  <si>
    <t>B values</t>
  </si>
  <si>
    <t>B_exp</t>
  </si>
  <si>
    <t>B_eq</t>
  </si>
  <si>
    <t>r(CO)</t>
  </si>
  <si>
    <t>r(CS)</t>
  </si>
  <si>
    <t>Mo</t>
  </si>
  <si>
    <t>ms32</t>
  </si>
  <si>
    <t>ms34</t>
  </si>
  <si>
    <t>mc12</t>
  </si>
  <si>
    <t>mc13</t>
  </si>
  <si>
    <t>Zc</t>
  </si>
  <si>
    <t>mass</t>
  </si>
  <si>
    <t>isotops</t>
  </si>
  <si>
    <t>Zs</t>
  </si>
  <si>
    <t>Zo</t>
  </si>
  <si>
    <t>I</t>
  </si>
  <si>
    <t>B_fit</t>
  </si>
  <si>
    <t>I(kg m^2)</t>
  </si>
  <si>
    <t>SSR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</si>
</sst>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name/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name/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Sheet1!$A$5:$A$7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9</c:v>
                </c:pt>
              </c:numCache>
            </c:numRef>
          </c:xVal>
          <c:yVal>
            <c:numRef>
              <c:f>Sheet1!$B$5:$B$7</c:f>
              <c:numCache>
                <c:formatCode>General</c:formatCode>
                <c:ptCount val="3"/>
                <c:pt idx="0">
                  <c:v>2.3199999999999998</c:v>
                </c:pt>
                <c:pt idx="1">
                  <c:v>16.23</c:v>
                </c:pt>
                <c:pt idx="2">
                  <c:v>30.21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F1-4340-B0B8-66CEA7192B64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Sheet1!$A$5:$A$7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9</c:v>
                </c:pt>
              </c:numCache>
            </c:numRef>
          </c:xVal>
          <c:yVal>
            <c:numRef>
              <c:f>Sheet1!$C$5:$C$7</c:f>
              <c:numCache>
                <c:formatCode>General</c:formatCode>
                <c:ptCount val="3"/>
                <c:pt idx="0">
                  <c:v>2.3083329015385625</c:v>
                </c:pt>
                <c:pt idx="1">
                  <c:v>16.253332895162547</c:v>
                </c:pt>
                <c:pt idx="2">
                  <c:v>30.198332888786531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F1-4340-B0B8-66CEA7192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9543536"/>
        <c:axId val="1369544016"/>
      </c:scatterChart>
      <c:valAx>
        <c:axId val="136954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544016"/>
        <c:crosses val="autoZero"/>
        <c:crossBetween val="midCat"/>
      </c:valAx>
      <c:valAx>
        <c:axId val="136954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54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0</xdr:row>
      <xdr:rowOff>83820</xdr:rowOff>
    </xdr:from>
    <xdr:to>
      <xdr:col>12</xdr:col>
      <xdr:colOff>487680</xdr:colOff>
      <xdr:row>15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CDDEF0-504E-43FF-9F6C-6A4B6A668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A14" zoomScale="97" workbookViewId="0">
      <selection activeCell="I43" sqref="I43"/>
    </sheetView>
  </sheetViews>
  <sheetFormatPr defaultRowHeight="14.4" x14ac:dyDescent="0.3"/>
  <cols>
    <col min="1" max="1" width="14.109375" customWidth="1"/>
    <col min="2" max="2" width="15.109375" customWidth="1"/>
    <col min="4" max="4" width="14.109375" customWidth="1"/>
    <col min="9" max="9" width="34.77734375" customWidth="1"/>
    <col min="10" max="10" width="15.44140625" customWidth="1"/>
  </cols>
  <sheetData>
    <row r="1" spans="1:4" x14ac:dyDescent="0.3">
      <c r="B1" t="s">
        <v>0</v>
      </c>
      <c r="C1">
        <v>3.486249998405996</v>
      </c>
    </row>
    <row r="2" spans="1:4" x14ac:dyDescent="0.3">
      <c r="B2" t="s">
        <v>4</v>
      </c>
      <c r="C2">
        <v>-1.1779170968674335</v>
      </c>
    </row>
    <row r="4" spans="1:4" x14ac:dyDescent="0.3">
      <c r="A4" t="s">
        <v>1</v>
      </c>
      <c r="B4" t="s">
        <v>2</v>
      </c>
      <c r="C4" t="s">
        <v>5</v>
      </c>
      <c r="D4" t="s">
        <v>3</v>
      </c>
    </row>
    <row r="5" spans="1:4" x14ac:dyDescent="0.3">
      <c r="A5">
        <v>1</v>
      </c>
      <c r="B5">
        <v>2.3199999999999998</v>
      </c>
      <c r="C5">
        <f>C1*A5+C2</f>
        <v>2.3083329015385625</v>
      </c>
      <c r="D5">
        <f xml:space="preserve"> (C5-B5)^2</f>
        <v>1.3612118650887308E-4</v>
      </c>
    </row>
    <row r="6" spans="1:4" x14ac:dyDescent="0.3">
      <c r="A6">
        <v>5</v>
      </c>
      <c r="B6">
        <v>16.23</v>
      </c>
      <c r="C6">
        <f>C1*A6+C2</f>
        <v>16.253332895162547</v>
      </c>
      <c r="D6">
        <f t="shared" ref="D6:D7" si="0" xml:space="preserve"> (C6-B6)^2</f>
        <v>5.4442399666639345E-4</v>
      </c>
    </row>
    <row r="7" spans="1:4" x14ac:dyDescent="0.3">
      <c r="A7">
        <v>9</v>
      </c>
      <c r="B7">
        <v>30.21</v>
      </c>
      <c r="C7">
        <f>C1*A7+C2</f>
        <v>30.198332888786531</v>
      </c>
      <c r="D7">
        <f t="shared" si="0"/>
        <v>1.3612148406746898E-4</v>
      </c>
    </row>
    <row r="8" spans="1:4" x14ac:dyDescent="0.3">
      <c r="C8" t="s">
        <v>6</v>
      </c>
      <c r="D8">
        <f xml:space="preserve"> SUM(D5:D7)</f>
        <v>8.1666666724273542E-4</v>
      </c>
    </row>
    <row r="21" spans="1:12" x14ac:dyDescent="0.3">
      <c r="A21" s="1" t="s">
        <v>7</v>
      </c>
      <c r="B21" s="1"/>
      <c r="C21" s="1"/>
      <c r="D21" s="1"/>
    </row>
    <row r="23" spans="1:12" x14ac:dyDescent="0.3">
      <c r="A23" s="2"/>
      <c r="B23" s="3" t="s">
        <v>8</v>
      </c>
      <c r="D23" s="2"/>
      <c r="E23" s="8" t="s">
        <v>12</v>
      </c>
      <c r="F23" s="8"/>
      <c r="G23" s="8"/>
      <c r="H23" s="3"/>
      <c r="J23" s="2"/>
      <c r="K23" s="8" t="s">
        <v>17</v>
      </c>
      <c r="L23" s="3"/>
    </row>
    <row r="24" spans="1:12" x14ac:dyDescent="0.3">
      <c r="A24" s="4" t="s">
        <v>9</v>
      </c>
      <c r="B24" s="5">
        <v>24325.896100000002</v>
      </c>
      <c r="D24" s="4"/>
      <c r="E24" s="9" t="s">
        <v>13</v>
      </c>
      <c r="F24" s="9" t="s">
        <v>14</v>
      </c>
      <c r="G24" s="9" t="s">
        <v>15</v>
      </c>
      <c r="H24" s="5" t="s">
        <v>16</v>
      </c>
      <c r="J24" s="4"/>
      <c r="K24" s="9" t="s">
        <v>18</v>
      </c>
      <c r="L24" s="5" t="s">
        <v>19</v>
      </c>
    </row>
    <row r="25" spans="1:12" x14ac:dyDescent="0.3">
      <c r="A25" s="4" t="s">
        <v>10</v>
      </c>
      <c r="B25" s="5">
        <v>23731.271700000001</v>
      </c>
      <c r="D25" s="4" t="s">
        <v>9</v>
      </c>
      <c r="E25" s="9">
        <v>36.44</v>
      </c>
      <c r="F25" s="9">
        <v>-9.35</v>
      </c>
      <c r="G25" s="9">
        <v>18.14</v>
      </c>
      <c r="H25" s="5">
        <v>17.940000000000001</v>
      </c>
      <c r="J25" s="4" t="s">
        <v>9</v>
      </c>
      <c r="K25" s="9">
        <f xml:space="preserve"> B24/4</f>
        <v>6081.4740250000004</v>
      </c>
      <c r="L25" s="5">
        <f>K25+H25</f>
        <v>6099.414025</v>
      </c>
    </row>
    <row r="26" spans="1:12" x14ac:dyDescent="0.3">
      <c r="A26" s="6" t="s">
        <v>11</v>
      </c>
      <c r="B26" s="7">
        <v>24247.637999999999</v>
      </c>
      <c r="D26" s="4" t="s">
        <v>10</v>
      </c>
      <c r="E26" s="9">
        <v>35.450000000000003</v>
      </c>
      <c r="F26" s="9">
        <v>-9.2200000000000006</v>
      </c>
      <c r="G26" s="9">
        <v>17.690000000000001</v>
      </c>
      <c r="H26" s="5">
        <v>17.350000000000001</v>
      </c>
      <c r="J26" s="4" t="s">
        <v>10</v>
      </c>
      <c r="K26" s="9">
        <f t="shared" ref="K26:K27" si="1" xml:space="preserve"> B25/4</f>
        <v>5932.8179250000003</v>
      </c>
      <c r="L26" s="5">
        <f t="shared" ref="L26:L27" si="2">K26+H26</f>
        <v>5950.1679250000007</v>
      </c>
    </row>
    <row r="27" spans="1:12" x14ac:dyDescent="0.3">
      <c r="D27" s="6" t="s">
        <v>11</v>
      </c>
      <c r="E27" s="10">
        <v>34.28</v>
      </c>
      <c r="F27" s="10">
        <v>-8.66</v>
      </c>
      <c r="G27" s="10">
        <v>17.98</v>
      </c>
      <c r="H27" s="7">
        <v>17.47</v>
      </c>
      <c r="J27" s="6" t="s">
        <v>11</v>
      </c>
      <c r="K27" s="10">
        <f t="shared" si="1"/>
        <v>6061.9094999999998</v>
      </c>
      <c r="L27" s="7">
        <f t="shared" si="2"/>
        <v>6079.3795</v>
      </c>
    </row>
    <row r="29" spans="1:12" x14ac:dyDescent="0.3">
      <c r="A29" s="2"/>
      <c r="B29" s="3" t="s">
        <v>28</v>
      </c>
      <c r="C29" s="9"/>
      <c r="D29" s="2" t="s">
        <v>29</v>
      </c>
      <c r="E29" s="8" t="s">
        <v>27</v>
      </c>
      <c r="F29" s="8" t="s">
        <v>30</v>
      </c>
      <c r="G29" s="8" t="s">
        <v>31</v>
      </c>
      <c r="H29" s="8" t="s">
        <v>32</v>
      </c>
      <c r="I29" s="8" t="s">
        <v>34</v>
      </c>
      <c r="J29" s="8" t="s">
        <v>33</v>
      </c>
      <c r="K29" s="8" t="s">
        <v>19</v>
      </c>
      <c r="L29" s="3" t="s">
        <v>3</v>
      </c>
    </row>
    <row r="30" spans="1:12" x14ac:dyDescent="0.3">
      <c r="A30" s="4" t="s">
        <v>22</v>
      </c>
      <c r="B30" s="5">
        <v>15.994914</v>
      </c>
      <c r="C30" s="9"/>
      <c r="D30" s="4" t="s">
        <v>9</v>
      </c>
      <c r="E30" s="9">
        <f>(B30*B35-B31*B36)/(B30+B33+B31)</f>
        <v>-52.072096955873661</v>
      </c>
      <c r="F30" s="9">
        <f>B36+E30</f>
        <v>103.72632096484497</v>
      </c>
      <c r="G30" s="9">
        <f>E30-B35</f>
        <v>-168.27099109504479</v>
      </c>
      <c r="H30" s="9">
        <f>B30*G30^2+B33*E30^2+B31*F30^2</f>
        <v>829428.33784806263</v>
      </c>
      <c r="I30" s="9">
        <f>H30*1.660539E-51</f>
        <v>1.3772981027018841E-45</v>
      </c>
      <c r="J30" s="9">
        <f>(6.626E-34 /(8 * 3.14^2 *I30))/1000000</f>
        <v>6099.2186020800336</v>
      </c>
      <c r="K30" s="5">
        <v>6099.4139999999998</v>
      </c>
      <c r="L30" s="5">
        <f xml:space="preserve"> (K30-J30)^2</f>
        <v>3.8180347127088662E-2</v>
      </c>
    </row>
    <row r="31" spans="1:12" x14ac:dyDescent="0.3">
      <c r="A31" s="4" t="s">
        <v>23</v>
      </c>
      <c r="B31" s="5">
        <v>31.972069999999999</v>
      </c>
      <c r="C31" s="9"/>
      <c r="D31" s="4" t="s">
        <v>10</v>
      </c>
      <c r="E31" s="9">
        <f>(B30*B35-B32*B36)/(B30+B33+B32)</f>
        <v>-55.413081121257406</v>
      </c>
      <c r="F31" s="9">
        <f>B36+E31</f>
        <v>100.38533679946123</v>
      </c>
      <c r="G31" s="9">
        <f>E31-B35</f>
        <v>-171.61197526042855</v>
      </c>
      <c r="H31" s="9">
        <f>B30*G31^2+B33*E31^2+B32*F31^2</f>
        <v>850209.77597205434</v>
      </c>
      <c r="I31" s="9">
        <f t="shared" ref="I31:I32" si="3">H31*1.660539E-51</f>
        <v>1.4118064911828591E-45</v>
      </c>
      <c r="J31" s="9">
        <f t="shared" ref="J31:J32" si="4">(6.626E-34 /(8 * 3.14^2 *I31))/1000000</f>
        <v>5950.1371194084068</v>
      </c>
      <c r="K31" s="5">
        <v>5950.1679999999997</v>
      </c>
      <c r="L31" s="5">
        <f t="shared" ref="L31:L32" si="5" xml:space="preserve"> (K31-J31)^2</f>
        <v>9.5361093712774793E-4</v>
      </c>
    </row>
    <row r="32" spans="1:12" x14ac:dyDescent="0.3">
      <c r="A32" s="4" t="s">
        <v>24</v>
      </c>
      <c r="B32" s="5">
        <v>33.967866899999997</v>
      </c>
      <c r="C32" s="9"/>
      <c r="D32" s="6" t="s">
        <v>11</v>
      </c>
      <c r="E32" s="10">
        <f>(B30*B35-B31*B36)/(B30+B34+B31)</f>
        <v>-51.215179582242811</v>
      </c>
      <c r="F32" s="10">
        <f>B36+E32</f>
        <v>104.58323833847582</v>
      </c>
      <c r="G32" s="10">
        <f>E32-B35</f>
        <v>-167.41407372141396</v>
      </c>
      <c r="H32" s="10">
        <f>B30*G32^2+B34*E32^2+B31*F32^2</f>
        <v>832104.15369890118</v>
      </c>
      <c r="I32" s="10">
        <f t="shared" si="3"/>
        <v>1.3817413992790197E-45</v>
      </c>
      <c r="J32" s="10">
        <f t="shared" si="4"/>
        <v>6079.6052090442845</v>
      </c>
      <c r="K32" s="7">
        <v>6079.38</v>
      </c>
      <c r="L32" s="7">
        <f t="shared" si="5"/>
        <v>5.0719113627485504E-2</v>
      </c>
    </row>
    <row r="33" spans="1:11" x14ac:dyDescent="0.3">
      <c r="A33" s="4" t="s">
        <v>25</v>
      </c>
      <c r="B33" s="5">
        <v>12</v>
      </c>
      <c r="C33" s="9"/>
      <c r="J33" t="s">
        <v>35</v>
      </c>
      <c r="K33">
        <f xml:space="preserve"> SUM(L30:L32)</f>
        <v>8.9853071691701925E-2</v>
      </c>
    </row>
    <row r="34" spans="1:11" ht="15" thickBot="1" x14ac:dyDescent="0.35">
      <c r="A34" s="4" t="s">
        <v>26</v>
      </c>
      <c r="B34" s="5">
        <v>13.003349999999999</v>
      </c>
      <c r="C34" s="9"/>
    </row>
    <row r="35" spans="1:11" x14ac:dyDescent="0.3">
      <c r="A35" s="11" t="s">
        <v>20</v>
      </c>
      <c r="B35" s="12">
        <v>116.19889413917114</v>
      </c>
    </row>
    <row r="36" spans="1:11" ht="15" thickBot="1" x14ac:dyDescent="0.35">
      <c r="A36" s="13" t="s">
        <v>21</v>
      </c>
      <c r="B36" s="14">
        <v>155.79841792071863</v>
      </c>
    </row>
  </sheetData>
  <mergeCells count="1">
    <mergeCell ref="A21:D2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Guizhong Luo</dc:creator>
  <cp:lastModifiedBy>Harry LUO</cp:lastModifiedBy>
  <dcterms:created xsi:type="dcterms:W3CDTF">2015-06-05T18:17:20Z</dcterms:created>
  <dcterms:modified xsi:type="dcterms:W3CDTF">2025-11-18T22:54:47Z</dcterms:modified>
</cp:coreProperties>
</file>